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  <sheet name="Earrings" sheetId="2" state="visible" r:id="rId2"/>
    <sheet name="Necklaces" sheetId="3" state="visible" r:id="rId3"/>
    <sheet name="Bangles" sheetId="4" state="visible" r:id="rId4"/>
    <sheet name="Maang Tikka" sheetId="5" state="visible" r:id="rId5"/>
    <sheet name="Rings" sheetId="6" state="visible" r:id="rId6"/>
    <sheet name="Zodiac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  <sz val="14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120101"/>
        <bgColor rgb="00120101"/>
      </patternFill>
    </fill>
    <fill>
      <patternFill patternType="solid">
        <fgColor rgb="00F2157B"/>
        <bgColor rgb="00F2157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1" pivotButton="0" quotePrefix="0" xfId="0"/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 ht="25" customHeight="1">
      <c r="A1" s="1" t="inlineStr">
        <is>
          <t>TRIBAL ZONE PRODUCT MASTER</t>
        </is>
      </c>
    </row>
    <row r="3">
      <c r="A3" s="2" t="inlineStr">
        <is>
          <t>Category</t>
        </is>
      </c>
      <c r="B3" s="2" t="inlineStr">
        <is>
          <t>Total SKUs</t>
        </is>
      </c>
      <c r="C3" s="2" t="inlineStr">
        <is>
          <t>Total Qty</t>
        </is>
      </c>
      <c r="D3" s="2" t="inlineStr">
        <is>
          <t>Total Value</t>
        </is>
      </c>
      <c r="E3" s="2" t="inlineStr">
        <is>
          <t>Avg Price</t>
        </is>
      </c>
    </row>
    <row r="4">
      <c r="A4" s="3" t="inlineStr">
        <is>
          <t>Earrings</t>
        </is>
      </c>
      <c r="B4" s="3">
        <f>COUNTA(Earrings!A2:A100)</f>
        <v/>
      </c>
      <c r="C4" s="4">
        <f>SUM(Earrings!D2:D100)</f>
        <v/>
      </c>
      <c r="D4" s="4">
        <f>SUMPRODUCT(Earrings!D2:D100,Earrings!E2:E100)</f>
        <v/>
      </c>
      <c r="E4" s="4">
        <f>AVERAGE(Earrings!E2:E100)</f>
        <v/>
      </c>
    </row>
    <row r="5">
      <c r="A5" s="3" t="inlineStr">
        <is>
          <t>Necklaces</t>
        </is>
      </c>
      <c r="B5" s="3">
        <f>COUNTA(Necklaces!A2:A100)</f>
        <v/>
      </c>
      <c r="C5" s="4">
        <f>SUM(Necklaces!D2:D100)</f>
        <v/>
      </c>
      <c r="D5" s="4">
        <f>SUMPRODUCT(Necklaces!D2:D100,Necklaces!E2:E100)</f>
        <v/>
      </c>
      <c r="E5" s="4">
        <f>AVERAGE(Necklaces!E2:E100)</f>
        <v/>
      </c>
    </row>
    <row r="6">
      <c r="A6" s="3" t="inlineStr">
        <is>
          <t>Bangles</t>
        </is>
      </c>
      <c r="B6" s="3">
        <f>COUNTA(Bangles!A2:A100)</f>
        <v/>
      </c>
      <c r="C6" s="4">
        <f>SUM(Bangles!D2:D100)</f>
        <v/>
      </c>
      <c r="D6" s="4">
        <f>SUMPRODUCT(Bangles!D2:D100,Bangles!E2:E100)</f>
        <v/>
      </c>
      <c r="E6" s="4">
        <f>AVERAGE(Bangles!E2:E100)</f>
        <v/>
      </c>
    </row>
    <row r="7">
      <c r="A7" s="3" t="inlineStr">
        <is>
          <t>Maang Tikka</t>
        </is>
      </c>
      <c r="B7" s="3">
        <f>COUNTA(Maang Tikka!A2:A100)</f>
        <v/>
      </c>
      <c r="C7" s="4">
        <f>SUM(Maang Tikka!D2:D100)</f>
        <v/>
      </c>
      <c r="D7" s="4">
        <f>SUMPRODUCT(Maang Tikka!D2:D100,Maang Tikka!E2:E100)</f>
        <v/>
      </c>
      <c r="E7" s="4">
        <f>AVERAGE(Maang Tikka!E2:E100)</f>
        <v/>
      </c>
    </row>
    <row r="8">
      <c r="A8" s="3" t="inlineStr">
        <is>
          <t>Rings</t>
        </is>
      </c>
      <c r="B8" s="3">
        <f>COUNTA(Rings!A2:A100)</f>
        <v/>
      </c>
      <c r="C8" s="4">
        <f>SUM(Rings!D2:D100)</f>
        <v/>
      </c>
      <c r="D8" s="4">
        <f>SUMPRODUCT(Rings!D2:D100,Rings!E2:E100)</f>
        <v/>
      </c>
      <c r="E8" s="4">
        <f>AVERAGE(Rings!E2:E100)</f>
        <v/>
      </c>
    </row>
    <row r="9">
      <c r="A9" s="3" t="inlineStr">
        <is>
          <t>Zodiac</t>
        </is>
      </c>
      <c r="B9" s="3">
        <f>COUNTA(Zodiac!A2:A100)</f>
        <v/>
      </c>
      <c r="C9" s="4">
        <f>SUM(Zodiac!D2:D100)</f>
        <v/>
      </c>
      <c r="D9" s="4">
        <f>SUMPRODUCT(Zodiac!D2:D100,Zodiac!E2:E100)</f>
        <v/>
      </c>
      <c r="E9" s="4">
        <f>AVERAGE(Zodiac!E2:E100)</f>
        <v/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12" customWidth="1" min="3" max="3"/>
    <col width="12" customWidth="1" min="4" max="4"/>
    <col width="10" customWidth="1" min="5" max="5"/>
    <col width="18" customWidth="1" min="6" max="6"/>
    <col width="10" customWidth="1" min="7" max="7"/>
    <col width="12" customWidth="1" min="8" max="8"/>
    <col width="20" customWidth="1" min="9" max="9"/>
    <col width="25" customWidth="1" min="10" max="10"/>
  </cols>
  <sheetData>
    <row r="1">
      <c r="A1" s="5" t="inlineStr">
        <is>
          <t>SKU</t>
        </is>
      </c>
      <c r="B1" s="5" t="inlineStr">
        <is>
          <t>Product Name</t>
        </is>
      </c>
      <c r="C1" s="5" t="inlineStr">
        <is>
          <t>Colour</t>
        </is>
      </c>
      <c r="D1" s="5" t="inlineStr">
        <is>
          <t>Quantity</t>
        </is>
      </c>
      <c r="E1" s="5" t="inlineStr">
        <is>
          <t>MRP</t>
        </is>
      </c>
      <c r="F1" s="5" t="inlineStr">
        <is>
          <t>Barcode</t>
        </is>
      </c>
      <c r="G1" s="5" t="inlineStr">
        <is>
          <t>Box No.</t>
        </is>
      </c>
      <c r="H1" s="5" t="inlineStr">
        <is>
          <t>Upload</t>
        </is>
      </c>
      <c r="I1" s="5" t="inlineStr">
        <is>
          <t>Image</t>
        </is>
      </c>
      <c r="J1" s="5" t="inlineStr">
        <is>
          <t>Notes</t>
        </is>
      </c>
    </row>
    <row r="2">
      <c r="A2" t="inlineStr">
        <is>
          <t>TZ4361-008</t>
        </is>
      </c>
      <c r="B2" t="inlineStr">
        <is>
          <t>EARRING</t>
        </is>
      </c>
      <c r="C2" t="inlineStr">
        <is>
          <t>GOLD</t>
        </is>
      </c>
      <c r="D2" t="n">
        <v>126</v>
      </c>
      <c r="E2" t="n">
        <v>399</v>
      </c>
      <c r="F2" t="n">
        <v>8903827098644</v>
      </c>
      <c r="G2" t="n">
        <v>1</v>
      </c>
      <c r="H2" t="inlineStr">
        <is>
          <t>Done</t>
        </is>
      </c>
      <c r="I2" t="inlineStr"/>
      <c r="J2" t="inlineStr"/>
    </row>
    <row r="3">
      <c r="A3" t="inlineStr">
        <is>
          <t>TZ4357-12</t>
        </is>
      </c>
      <c r="B3" t="inlineStr">
        <is>
          <t>EARRING</t>
        </is>
      </c>
      <c r="C3" t="inlineStr">
        <is>
          <t>GOLD</t>
        </is>
      </c>
      <c r="D3" t="n">
        <v>120</v>
      </c>
      <c r="E3" t="n">
        <v>599</v>
      </c>
      <c r="F3" t="n">
        <v>8903827098323</v>
      </c>
      <c r="G3" t="n">
        <v>1</v>
      </c>
      <c r="H3" t="inlineStr">
        <is>
          <t>Done</t>
        </is>
      </c>
      <c r="I3" t="inlineStr"/>
      <c r="J3" t="inlineStr"/>
    </row>
    <row r="4">
      <c r="A4" t="inlineStr">
        <is>
          <t>TZ4357-19</t>
        </is>
      </c>
      <c r="B4" t="inlineStr">
        <is>
          <t>EARRING</t>
        </is>
      </c>
      <c r="C4" t="inlineStr">
        <is>
          <t>WHITE</t>
        </is>
      </c>
      <c r="D4" t="n">
        <v>120</v>
      </c>
      <c r="E4" t="n">
        <v>599</v>
      </c>
      <c r="F4" t="n">
        <v>8903827098392</v>
      </c>
      <c r="G4" t="n">
        <v>1</v>
      </c>
      <c r="H4" t="inlineStr">
        <is>
          <t>Done</t>
        </is>
      </c>
      <c r="I4" t="inlineStr"/>
      <c r="J4" t="inlineStr"/>
    </row>
    <row r="5">
      <c r="A5" t="inlineStr">
        <is>
          <t>TZ4357-4</t>
        </is>
      </c>
      <c r="B5" t="inlineStr">
        <is>
          <t>EARRING</t>
        </is>
      </c>
      <c r="C5" t="inlineStr">
        <is>
          <t>GOLD</t>
        </is>
      </c>
      <c r="D5" t="n">
        <v>120</v>
      </c>
      <c r="E5" t="n">
        <v>599</v>
      </c>
      <c r="F5" t="n">
        <v>8903827098248</v>
      </c>
      <c r="G5" t="n">
        <v>1</v>
      </c>
      <c r="H5" t="inlineStr">
        <is>
          <t>Done</t>
        </is>
      </c>
      <c r="I5" t="inlineStr"/>
      <c r="J5" t="inlineStr"/>
    </row>
    <row r="6">
      <c r="A6" t="inlineStr">
        <is>
          <t>TZ4357-20</t>
        </is>
      </c>
      <c r="B6" t="inlineStr">
        <is>
          <t>EARRING</t>
        </is>
      </c>
      <c r="C6" t="inlineStr">
        <is>
          <t>WHITE</t>
        </is>
      </c>
      <c r="D6" t="n">
        <v>125</v>
      </c>
      <c r="E6" t="n">
        <v>599</v>
      </c>
      <c r="F6" t="n">
        <v>8903827098408</v>
      </c>
      <c r="G6" t="n">
        <v>1</v>
      </c>
      <c r="H6" t="inlineStr">
        <is>
          <t>Done</t>
        </is>
      </c>
      <c r="I6" t="inlineStr"/>
      <c r="J6" t="inlineStr"/>
    </row>
    <row r="7">
      <c r="A7" t="inlineStr">
        <is>
          <t>TZ4357-6</t>
        </is>
      </c>
      <c r="B7" t="inlineStr">
        <is>
          <t>EARRING</t>
        </is>
      </c>
      <c r="C7" t="inlineStr">
        <is>
          <t>GOLD</t>
        </is>
      </c>
      <c r="D7" t="n">
        <v>120</v>
      </c>
      <c r="E7" t="n">
        <v>599</v>
      </c>
      <c r="F7" t="n">
        <v>8903827098408</v>
      </c>
      <c r="G7" t="n">
        <v>1</v>
      </c>
      <c r="H7" t="inlineStr">
        <is>
          <t>Done</t>
        </is>
      </c>
      <c r="I7" t="inlineStr"/>
      <c r="J7" t="inlineStr"/>
    </row>
    <row r="8">
      <c r="A8" t="inlineStr">
        <is>
          <t>TZ4357-10</t>
        </is>
      </c>
      <c r="B8" t="inlineStr">
        <is>
          <t>EARRING</t>
        </is>
      </c>
      <c r="C8" t="inlineStr">
        <is>
          <t>GOLD</t>
        </is>
      </c>
      <c r="D8" t="n">
        <v>119</v>
      </c>
      <c r="E8" t="n">
        <v>599</v>
      </c>
      <c r="F8" t="n">
        <v>8903827098309</v>
      </c>
      <c r="G8" t="n">
        <v>1</v>
      </c>
      <c r="H8" t="inlineStr">
        <is>
          <t>Done</t>
        </is>
      </c>
      <c r="I8" t="inlineStr"/>
      <c r="J8" t="inlineStr"/>
    </row>
    <row r="9">
      <c r="A9" t="inlineStr">
        <is>
          <t>TZ4357-8</t>
        </is>
      </c>
      <c r="B9" t="inlineStr">
        <is>
          <t>EARRING</t>
        </is>
      </c>
      <c r="C9" t="inlineStr">
        <is>
          <t>GOLD</t>
        </is>
      </c>
      <c r="D9" t="n">
        <v>114</v>
      </c>
      <c r="E9" t="n">
        <v>599</v>
      </c>
      <c r="F9" t="n">
        <v>8903827098286</v>
      </c>
      <c r="G9" t="n">
        <v>2</v>
      </c>
      <c r="H9" t="inlineStr">
        <is>
          <t>Done</t>
        </is>
      </c>
      <c r="I9" t="inlineStr"/>
      <c r="J9" t="inlineStr"/>
    </row>
    <row r="10">
      <c r="A10" t="inlineStr">
        <is>
          <t>TZ4357-1</t>
        </is>
      </c>
      <c r="B10" t="inlineStr">
        <is>
          <t>EARRING</t>
        </is>
      </c>
      <c r="C10" t="inlineStr">
        <is>
          <t>GOLD</t>
        </is>
      </c>
      <c r="D10" t="n">
        <v>136</v>
      </c>
      <c r="E10" t="n">
        <v>599</v>
      </c>
      <c r="F10" t="n">
        <v>8903827098217</v>
      </c>
      <c r="G10" t="n">
        <v>2</v>
      </c>
      <c r="H10" t="inlineStr">
        <is>
          <t>Done</t>
        </is>
      </c>
      <c r="I10" t="inlineStr"/>
      <c r="J10" t="inlineStr"/>
    </row>
    <row r="11">
      <c r="A11" t="inlineStr">
        <is>
          <t>TZ4357-17</t>
        </is>
      </c>
      <c r="B11" t="inlineStr">
        <is>
          <t>EARRING</t>
        </is>
      </c>
      <c r="C11" t="inlineStr">
        <is>
          <t>WHITE</t>
        </is>
      </c>
      <c r="D11" t="n">
        <v>119</v>
      </c>
      <c r="E11" t="n">
        <v>599</v>
      </c>
      <c r="F11" t="n">
        <v>8903827098378</v>
      </c>
      <c r="G11" t="n">
        <v>2</v>
      </c>
      <c r="H11" t="inlineStr">
        <is>
          <t>Done</t>
        </is>
      </c>
      <c r="I11" t="inlineStr"/>
      <c r="J11" t="inlineStr"/>
    </row>
    <row r="12">
      <c r="A12" t="inlineStr">
        <is>
          <t>TZ4383-1</t>
        </is>
      </c>
      <c r="B12" t="inlineStr">
        <is>
          <t>EARRING</t>
        </is>
      </c>
      <c r="C12" t="inlineStr">
        <is>
          <t>GOLD</t>
        </is>
      </c>
      <c r="D12" t="n">
        <v>123</v>
      </c>
      <c r="E12" t="n">
        <v>699</v>
      </c>
      <c r="F12" t="n">
        <v>8903827097913</v>
      </c>
      <c r="G12" t="n">
        <v>4</v>
      </c>
      <c r="H12" t="inlineStr">
        <is>
          <t>Done</t>
        </is>
      </c>
      <c r="I12" t="inlineStr"/>
      <c r="J12" t="inlineStr"/>
    </row>
    <row r="13">
      <c r="A13" t="inlineStr">
        <is>
          <t>TZ4383-2</t>
        </is>
      </c>
      <c r="B13" t="inlineStr">
        <is>
          <t>EARRING</t>
        </is>
      </c>
      <c r="C13" t="inlineStr">
        <is>
          <t>GOLD</t>
        </is>
      </c>
      <c r="D13" t="n">
        <v>123</v>
      </c>
      <c r="E13" t="n">
        <v>699</v>
      </c>
      <c r="F13" t="n">
        <v>8903827097913</v>
      </c>
      <c r="G13" t="n">
        <v>4</v>
      </c>
      <c r="H13" t="inlineStr">
        <is>
          <t>Done</t>
        </is>
      </c>
      <c r="I13" t="inlineStr"/>
      <c r="J13" t="inlineStr"/>
    </row>
    <row r="14">
      <c r="A14" t="inlineStr">
        <is>
          <t>TZ4383-10</t>
        </is>
      </c>
      <c r="B14" t="inlineStr">
        <is>
          <t>EARRING</t>
        </is>
      </c>
      <c r="C14" t="inlineStr">
        <is>
          <t>GOLD</t>
        </is>
      </c>
      <c r="D14" t="n">
        <v>61</v>
      </c>
      <c r="E14" t="n">
        <v>699</v>
      </c>
      <c r="F14" t="n">
        <v>8903827098002</v>
      </c>
      <c r="G14" t="n">
        <v>4</v>
      </c>
      <c r="H14" t="inlineStr">
        <is>
          <t>Done</t>
        </is>
      </c>
      <c r="I14" t="inlineStr"/>
      <c r="J14" t="inlineStr"/>
    </row>
    <row r="15">
      <c r="A15" t="inlineStr">
        <is>
          <t>TZ4383-10</t>
        </is>
      </c>
      <c r="B15" t="inlineStr">
        <is>
          <t>EARRING</t>
        </is>
      </c>
      <c r="C15" t="inlineStr">
        <is>
          <t>SILVER</t>
        </is>
      </c>
      <c r="D15" t="n">
        <v>50</v>
      </c>
      <c r="E15" t="n">
        <v>699</v>
      </c>
      <c r="F15" t="n">
        <v>8903727099818</v>
      </c>
      <c r="G15" t="n">
        <v>4</v>
      </c>
      <c r="H15" t="inlineStr">
        <is>
          <t>Done</t>
        </is>
      </c>
      <c r="I15" t="inlineStr"/>
      <c r="J15" t="inlineStr"/>
    </row>
    <row r="16">
      <c r="A16" t="inlineStr">
        <is>
          <t>TZ4383-10-SLV</t>
        </is>
      </c>
      <c r="B16" t="inlineStr">
        <is>
          <t>EARRING</t>
        </is>
      </c>
      <c r="C16" t="inlineStr">
        <is>
          <t>SILVER</t>
        </is>
      </c>
      <c r="D16" t="n">
        <v>50</v>
      </c>
      <c r="E16" t="n">
        <v>699</v>
      </c>
      <c r="F16" t="n">
        <v>8903727099818</v>
      </c>
      <c r="G16" t="n">
        <v>4</v>
      </c>
      <c r="H16" t="inlineStr">
        <is>
          <t>Done</t>
        </is>
      </c>
      <c r="I16" t="inlineStr"/>
      <c r="J16" t="inlineStr"/>
    </row>
    <row r="17">
      <c r="A17" t="inlineStr">
        <is>
          <t>TZ4383-5</t>
        </is>
      </c>
      <c r="B17" t="inlineStr">
        <is>
          <t>EARRING</t>
        </is>
      </c>
      <c r="C17" t="inlineStr">
        <is>
          <t>GOLD</t>
        </is>
      </c>
      <c r="D17" t="n">
        <v>192</v>
      </c>
      <c r="E17" t="n">
        <v>699</v>
      </c>
      <c r="F17" t="n">
        <v>8903827097951</v>
      </c>
      <c r="G17" t="n">
        <v>4</v>
      </c>
      <c r="H17" t="inlineStr">
        <is>
          <t>Done</t>
        </is>
      </c>
      <c r="I17" t="inlineStr"/>
      <c r="J17" t="inlineStr"/>
    </row>
    <row r="18">
      <c r="A18" t="inlineStr">
        <is>
          <t>TZ4383-6</t>
        </is>
      </c>
      <c r="B18" t="inlineStr">
        <is>
          <t>EARRING</t>
        </is>
      </c>
      <c r="C18" t="inlineStr">
        <is>
          <t>MULTI</t>
        </is>
      </c>
      <c r="D18" t="n">
        <v>233</v>
      </c>
      <c r="E18" t="n">
        <v>599</v>
      </c>
      <c r="F18" t="n">
        <v>8903827097968</v>
      </c>
      <c r="G18" t="n">
        <v>3</v>
      </c>
      <c r="H18" t="inlineStr">
        <is>
          <t>Done</t>
        </is>
      </c>
      <c r="I18" t="inlineStr"/>
      <c r="J18" t="inlineStr"/>
    </row>
    <row r="19">
      <c r="A19" t="inlineStr">
        <is>
          <t>TZ4383-3</t>
        </is>
      </c>
      <c r="B19" t="inlineStr">
        <is>
          <t>EARRING</t>
        </is>
      </c>
      <c r="C19" t="inlineStr">
        <is>
          <t>GOLD</t>
        </is>
      </c>
      <c r="D19" t="n">
        <v>209</v>
      </c>
      <c r="E19" t="n">
        <v>699</v>
      </c>
      <c r="F19" t="n">
        <v>8903827097937</v>
      </c>
      <c r="G19" t="n">
        <v>3</v>
      </c>
      <c r="H19" t="inlineStr"/>
      <c r="I19" t="inlineStr"/>
      <c r="J19" t="inlineStr"/>
    </row>
    <row r="20">
      <c r="A20" t="inlineStr">
        <is>
          <t>TZ4383-7</t>
        </is>
      </c>
      <c r="B20" t="inlineStr">
        <is>
          <t>EARRING</t>
        </is>
      </c>
      <c r="C20" t="inlineStr">
        <is>
          <t>GOLD</t>
        </is>
      </c>
      <c r="D20" t="n">
        <v>198</v>
      </c>
      <c r="E20" t="n">
        <v>599</v>
      </c>
      <c r="F20" t="n">
        <v>8903827097975</v>
      </c>
      <c r="G20" t="n">
        <v>3</v>
      </c>
      <c r="H20" t="inlineStr">
        <is>
          <t>Done</t>
        </is>
      </c>
      <c r="I20" t="inlineStr"/>
      <c r="J20" t="inlineStr"/>
    </row>
    <row r="21">
      <c r="A21" t="inlineStr">
        <is>
          <t>TZSSE-123</t>
        </is>
      </c>
      <c r="B21" t="inlineStr">
        <is>
          <t>EARRING</t>
        </is>
      </c>
      <c r="C21" t="inlineStr">
        <is>
          <t>WHITE</t>
        </is>
      </c>
      <c r="D21" t="n">
        <v>123</v>
      </c>
      <c r="E21" t="n">
        <v>899</v>
      </c>
      <c r="F21" t="n">
        <v>8903827081059</v>
      </c>
      <c r="G21" t="n">
        <v>0</v>
      </c>
      <c r="H21" t="inlineStr"/>
      <c r="I21" t="inlineStr"/>
      <c r="J21" t="inlineStr"/>
    </row>
    <row r="22">
      <c r="A22" t="inlineStr">
        <is>
          <t>TZSSE-677G</t>
        </is>
      </c>
      <c r="B22" t="inlineStr">
        <is>
          <t>EARRING</t>
        </is>
      </c>
      <c r="C22" t="inlineStr">
        <is>
          <t>GOLD</t>
        </is>
      </c>
      <c r="D22" t="n">
        <v>216</v>
      </c>
      <c r="E22" t="n">
        <v>499</v>
      </c>
      <c r="F22" t="n">
        <v>8903827076413</v>
      </c>
      <c r="G22" t="n">
        <v>0</v>
      </c>
      <c r="H22" t="inlineStr"/>
      <c r="I22" t="inlineStr"/>
      <c r="J22" t="inlineStr"/>
    </row>
    <row r="23">
      <c r="A23" t="inlineStr">
        <is>
          <t>HCSSE-663</t>
        </is>
      </c>
      <c r="B23" t="inlineStr">
        <is>
          <t>EARRING</t>
        </is>
      </c>
      <c r="C23" t="inlineStr">
        <is>
          <t>MULTI</t>
        </is>
      </c>
      <c r="D23" t="n">
        <v>60</v>
      </c>
      <c r="E23" t="n">
        <v>399</v>
      </c>
      <c r="F23" t="n">
        <v>8903827077489</v>
      </c>
      <c r="G23" t="n">
        <v>0</v>
      </c>
      <c r="H23" t="inlineStr"/>
      <c r="I23" t="inlineStr"/>
      <c r="J2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12" customWidth="1" min="3" max="3"/>
    <col width="12" customWidth="1" min="4" max="4"/>
    <col width="10" customWidth="1" min="5" max="5"/>
    <col width="18" customWidth="1" min="6" max="6"/>
    <col width="10" customWidth="1" min="7" max="7"/>
    <col width="12" customWidth="1" min="8" max="8"/>
    <col width="20" customWidth="1" min="9" max="9"/>
    <col width="25" customWidth="1" min="10" max="10"/>
  </cols>
  <sheetData>
    <row r="1">
      <c r="A1" s="5" t="inlineStr">
        <is>
          <t>SKU</t>
        </is>
      </c>
      <c r="B1" s="5" t="inlineStr">
        <is>
          <t>Product Name</t>
        </is>
      </c>
      <c r="C1" s="5" t="inlineStr">
        <is>
          <t>Colour</t>
        </is>
      </c>
      <c r="D1" s="5" t="inlineStr">
        <is>
          <t>Quantity</t>
        </is>
      </c>
      <c r="E1" s="5" t="inlineStr">
        <is>
          <t>MRP</t>
        </is>
      </c>
      <c r="F1" s="5" t="inlineStr">
        <is>
          <t>Barcode</t>
        </is>
      </c>
      <c r="G1" s="5" t="inlineStr">
        <is>
          <t>Box No.</t>
        </is>
      </c>
      <c r="H1" s="5" t="inlineStr">
        <is>
          <t>Upload</t>
        </is>
      </c>
      <c r="I1" s="5" t="inlineStr">
        <is>
          <t>Image</t>
        </is>
      </c>
      <c r="J1" s="5" t="inlineStr">
        <is>
          <t>Notes</t>
        </is>
      </c>
    </row>
    <row r="2">
      <c r="A2" s="6" t="inlineStr">
        <is>
          <t>TZ5201-001</t>
        </is>
      </c>
      <c r="B2" s="6" t="inlineStr">
        <is>
          <t>Crystal Pendant Necklace</t>
        </is>
      </c>
      <c r="C2" s="6" t="inlineStr">
        <is>
          <t>SILVER</t>
        </is>
      </c>
      <c r="D2" s="6" t="n">
        <v>85</v>
      </c>
      <c r="E2" s="6" t="n">
        <v>899</v>
      </c>
      <c r="F2" s="6" t="inlineStr">
        <is>
          <t>8903827098501</t>
        </is>
      </c>
      <c r="G2" s="6" t="n">
        <v>2</v>
      </c>
      <c r="H2" s="6" t="inlineStr"/>
      <c r="I2" s="6" t="inlineStr"/>
      <c r="J2" s="6" t="inlineStr"/>
    </row>
    <row r="3">
      <c r="A3" s="6" t="inlineStr">
        <is>
          <t>TZ5202-001</t>
        </is>
      </c>
      <c r="B3" s="6" t="inlineStr">
        <is>
          <t>Layered Chain Necklace</t>
        </is>
      </c>
      <c r="C3" s="6" t="inlineStr">
        <is>
          <t>GOLD</t>
        </is>
      </c>
      <c r="D3" s="6" t="n">
        <v>72</v>
      </c>
      <c r="E3" s="6" t="n">
        <v>799</v>
      </c>
      <c r="F3" s="6" t="inlineStr">
        <is>
          <t>8903827098502</t>
        </is>
      </c>
      <c r="G3" s="6" t="n">
        <v>2</v>
      </c>
      <c r="H3" s="6" t="inlineStr"/>
      <c r="I3" s="6" t="inlineStr"/>
      <c r="J3" s="6" t="inlineStr"/>
    </row>
    <row r="4">
      <c r="A4" s="6" t="inlineStr">
        <is>
          <t>TZ5203-001</t>
        </is>
      </c>
      <c r="B4" s="6" t="inlineStr">
        <is>
          <t>Kundan Temple Necklace</t>
        </is>
      </c>
      <c r="C4" s="6" t="inlineStr">
        <is>
          <t>GOLD</t>
        </is>
      </c>
      <c r="D4" s="6" t="n">
        <v>45</v>
      </c>
      <c r="E4" s="6" t="n">
        <v>1299</v>
      </c>
      <c r="F4" s="6" t="inlineStr">
        <is>
          <t>8903827098503</t>
        </is>
      </c>
      <c r="G4" s="6" t="n">
        <v>5</v>
      </c>
      <c r="H4" s="6" t="inlineStr"/>
      <c r="I4" s="6" t="inlineStr"/>
      <c r="J4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12" customWidth="1" min="3" max="3"/>
    <col width="12" customWidth="1" min="4" max="4"/>
    <col width="10" customWidth="1" min="5" max="5"/>
    <col width="18" customWidth="1" min="6" max="6"/>
    <col width="10" customWidth="1" min="7" max="7"/>
    <col width="12" customWidth="1" min="8" max="8"/>
    <col width="20" customWidth="1" min="9" max="9"/>
    <col width="25" customWidth="1" min="10" max="10"/>
  </cols>
  <sheetData>
    <row r="1">
      <c r="A1" s="5" t="inlineStr">
        <is>
          <t>SKU</t>
        </is>
      </c>
      <c r="B1" s="5" t="inlineStr">
        <is>
          <t>Product Name</t>
        </is>
      </c>
      <c r="C1" s="5" t="inlineStr">
        <is>
          <t>Colour</t>
        </is>
      </c>
      <c r="D1" s="5" t="inlineStr">
        <is>
          <t>Quantity</t>
        </is>
      </c>
      <c r="E1" s="5" t="inlineStr">
        <is>
          <t>MRP</t>
        </is>
      </c>
      <c r="F1" s="5" t="inlineStr">
        <is>
          <t>Barcode</t>
        </is>
      </c>
      <c r="G1" s="5" t="inlineStr">
        <is>
          <t>Box No.</t>
        </is>
      </c>
      <c r="H1" s="5" t="inlineStr">
        <is>
          <t>Upload</t>
        </is>
      </c>
      <c r="I1" s="5" t="inlineStr">
        <is>
          <t>Image</t>
        </is>
      </c>
      <c r="J1" s="5" t="inlineStr">
        <is>
          <t>Notes</t>
        </is>
      </c>
    </row>
    <row r="2">
      <c r="A2" s="6" t="inlineStr">
        <is>
          <t>TZ6101-001</t>
        </is>
      </c>
      <c r="B2" s="6" t="inlineStr">
        <is>
          <t>Crystal Beaded Bracelet</t>
        </is>
      </c>
      <c r="C2" s="6" t="inlineStr">
        <is>
          <t>MULTI</t>
        </is>
      </c>
      <c r="D2" s="6" t="n">
        <v>156</v>
      </c>
      <c r="E2" s="6" t="n">
        <v>499</v>
      </c>
      <c r="F2" s="6" t="inlineStr">
        <is>
          <t>8903827098601</t>
        </is>
      </c>
      <c r="G2" s="6" t="n">
        <v>3</v>
      </c>
      <c r="H2" s="6" t="inlineStr"/>
      <c r="I2" s="6" t="inlineStr"/>
      <c r="J2" s="6" t="inlineStr"/>
    </row>
    <row r="3">
      <c r="A3" s="6" t="inlineStr">
        <is>
          <t>TZ6102-001</t>
        </is>
      </c>
      <c r="B3" s="6" t="inlineStr">
        <is>
          <t>Gold Bangle Set</t>
        </is>
      </c>
      <c r="C3" s="6" t="inlineStr">
        <is>
          <t>GOLD</t>
        </is>
      </c>
      <c r="D3" s="6" t="n">
        <v>98</v>
      </c>
      <c r="E3" s="6" t="n">
        <v>799</v>
      </c>
      <c r="F3" s="6" t="inlineStr">
        <is>
          <t>8903827098602</t>
        </is>
      </c>
      <c r="G3" s="6" t="n">
        <v>3</v>
      </c>
      <c r="H3" s="6" t="inlineStr"/>
      <c r="I3" s="6" t="inlineStr"/>
      <c r="J3" s="6" t="inlineStr"/>
    </row>
    <row r="4">
      <c r="A4" s="6" t="inlineStr">
        <is>
          <t>TZ6103-001</t>
        </is>
      </c>
      <c r="B4" s="6" t="inlineStr">
        <is>
          <t>Antique Silver Bangle</t>
        </is>
      </c>
      <c r="C4" s="6" t="inlineStr">
        <is>
          <t>SILVER</t>
        </is>
      </c>
      <c r="D4" s="6" t="n">
        <v>67</v>
      </c>
      <c r="E4" s="6" t="n">
        <v>599</v>
      </c>
      <c r="F4" s="6" t="inlineStr">
        <is>
          <t>8903827098603</t>
        </is>
      </c>
      <c r="G4" s="6" t="n">
        <v>2</v>
      </c>
      <c r="H4" s="6" t="inlineStr"/>
      <c r="I4" s="6" t="inlineStr"/>
      <c r="J4" s="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12" customWidth="1" min="3" max="3"/>
    <col width="12" customWidth="1" min="4" max="4"/>
    <col width="10" customWidth="1" min="5" max="5"/>
    <col width="18" customWidth="1" min="6" max="6"/>
    <col width="10" customWidth="1" min="7" max="7"/>
    <col width="12" customWidth="1" min="8" max="8"/>
    <col width="20" customWidth="1" min="9" max="9"/>
    <col width="25" customWidth="1" min="10" max="10"/>
  </cols>
  <sheetData>
    <row r="1">
      <c r="A1" s="5" t="inlineStr">
        <is>
          <t>SKU</t>
        </is>
      </c>
      <c r="B1" s="5" t="inlineStr">
        <is>
          <t>Product Name</t>
        </is>
      </c>
      <c r="C1" s="5" t="inlineStr">
        <is>
          <t>Colour</t>
        </is>
      </c>
      <c r="D1" s="5" t="inlineStr">
        <is>
          <t>Quantity</t>
        </is>
      </c>
      <c r="E1" s="5" t="inlineStr">
        <is>
          <t>MRP</t>
        </is>
      </c>
      <c r="F1" s="5" t="inlineStr">
        <is>
          <t>Barcode</t>
        </is>
      </c>
      <c r="G1" s="5" t="inlineStr">
        <is>
          <t>Box No.</t>
        </is>
      </c>
      <c r="H1" s="5" t="inlineStr">
        <is>
          <t>Upload</t>
        </is>
      </c>
      <c r="I1" s="5" t="inlineStr">
        <is>
          <t>Image</t>
        </is>
      </c>
      <c r="J1" s="5" t="inlineStr">
        <is>
          <t>Notes</t>
        </is>
      </c>
    </row>
    <row r="2">
      <c r="A2" s="6" t="inlineStr">
        <is>
          <t>TZ7101-001</t>
        </is>
      </c>
      <c r="B2" s="6" t="inlineStr">
        <is>
          <t>Pearl Maang Tikka</t>
        </is>
      </c>
      <c r="C2" s="6" t="inlineStr">
        <is>
          <t>GOLD</t>
        </is>
      </c>
      <c r="D2" s="6" t="n">
        <v>54</v>
      </c>
      <c r="E2" s="6" t="n">
        <v>799</v>
      </c>
      <c r="F2" s="6" t="inlineStr">
        <is>
          <t>8903827098701</t>
        </is>
      </c>
      <c r="G2" s="6" t="n">
        <v>4</v>
      </c>
      <c r="H2" s="6" t="inlineStr"/>
      <c r="I2" s="6" t="inlineStr"/>
      <c r="J2" s="6" t="inlineStr"/>
    </row>
    <row r="3">
      <c r="A3" s="6" t="inlineStr">
        <is>
          <t>TZ7102-001</t>
        </is>
      </c>
      <c r="B3" s="6" t="inlineStr">
        <is>
          <t>Kundan Maang Tikka</t>
        </is>
      </c>
      <c r="C3" s="6" t="inlineStr">
        <is>
          <t>GOLD</t>
        </is>
      </c>
      <c r="D3" s="6" t="n">
        <v>38</v>
      </c>
      <c r="E3" s="6" t="n">
        <v>999</v>
      </c>
      <c r="F3" s="6" t="inlineStr">
        <is>
          <t>8903827098702</t>
        </is>
      </c>
      <c r="G3" s="6" t="n">
        <v>4</v>
      </c>
      <c r="H3" s="6" t="inlineStr"/>
      <c r="I3" s="6" t="inlineStr"/>
      <c r="J3" s="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12" customWidth="1" min="3" max="3"/>
    <col width="12" customWidth="1" min="4" max="4"/>
    <col width="10" customWidth="1" min="5" max="5"/>
    <col width="18" customWidth="1" min="6" max="6"/>
    <col width="10" customWidth="1" min="7" max="7"/>
    <col width="12" customWidth="1" min="8" max="8"/>
    <col width="20" customWidth="1" min="9" max="9"/>
    <col width="25" customWidth="1" min="10" max="10"/>
  </cols>
  <sheetData>
    <row r="1">
      <c r="A1" s="5" t="inlineStr">
        <is>
          <t>SKU</t>
        </is>
      </c>
      <c r="B1" s="5" t="inlineStr">
        <is>
          <t>Product Name</t>
        </is>
      </c>
      <c r="C1" s="5" t="inlineStr">
        <is>
          <t>Colour</t>
        </is>
      </c>
      <c r="D1" s="5" t="inlineStr">
        <is>
          <t>Quantity</t>
        </is>
      </c>
      <c r="E1" s="5" t="inlineStr">
        <is>
          <t>MRP</t>
        </is>
      </c>
      <c r="F1" s="5" t="inlineStr">
        <is>
          <t>Barcode</t>
        </is>
      </c>
      <c r="G1" s="5" t="inlineStr">
        <is>
          <t>Box No.</t>
        </is>
      </c>
      <c r="H1" s="5" t="inlineStr">
        <is>
          <t>Upload</t>
        </is>
      </c>
      <c r="I1" s="5" t="inlineStr">
        <is>
          <t>Image</t>
        </is>
      </c>
      <c r="J1" s="5" t="inlineStr">
        <is>
          <t>Notes</t>
        </is>
      </c>
    </row>
    <row r="2">
      <c r="A2" s="6" t="inlineStr">
        <is>
          <t>TZ8101-001</t>
        </is>
      </c>
      <c r="B2" s="6" t="inlineStr">
        <is>
          <t>Gold Statement Ring</t>
        </is>
      </c>
      <c r="C2" s="6" t="inlineStr">
        <is>
          <t>GOLD</t>
        </is>
      </c>
      <c r="D2" s="6" t="n">
        <v>124</v>
      </c>
      <c r="E2" s="6" t="n">
        <v>599</v>
      </c>
      <c r="F2" s="6" t="inlineStr">
        <is>
          <t>8903827098801</t>
        </is>
      </c>
      <c r="G2" s="6" t="n">
        <v>1</v>
      </c>
      <c r="H2" s="6" t="inlineStr"/>
      <c r="I2" s="6" t="inlineStr"/>
      <c r="J2" s="6" t="inlineStr"/>
    </row>
    <row r="3">
      <c r="A3" s="6" t="inlineStr">
        <is>
          <t>TZ8102-001</t>
        </is>
      </c>
      <c r="B3" s="6" t="inlineStr">
        <is>
          <t>Aries Zodiac Ring</t>
        </is>
      </c>
      <c r="C3" s="6" t="inlineStr">
        <is>
          <t>SILVER</t>
        </is>
      </c>
      <c r="D3" s="6" t="n">
        <v>89</v>
      </c>
      <c r="E3" s="6" t="n">
        <v>699</v>
      </c>
      <c r="F3" s="6" t="inlineStr">
        <is>
          <t>8903827098802</t>
        </is>
      </c>
      <c r="G3" s="6" t="n">
        <v>1</v>
      </c>
      <c r="H3" s="6" t="inlineStr"/>
      <c r="I3" s="6" t="inlineStr"/>
      <c r="J3" s="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12" customWidth="1" min="3" max="3"/>
    <col width="12" customWidth="1" min="4" max="4"/>
    <col width="10" customWidth="1" min="5" max="5"/>
    <col width="18" customWidth="1" min="6" max="6"/>
    <col width="10" customWidth="1" min="7" max="7"/>
    <col width="12" customWidth="1" min="8" max="8"/>
    <col width="20" customWidth="1" min="9" max="9"/>
    <col width="25" customWidth="1" min="10" max="10"/>
  </cols>
  <sheetData>
    <row r="1">
      <c r="A1" s="5" t="inlineStr">
        <is>
          <t>SKU</t>
        </is>
      </c>
      <c r="B1" s="5" t="inlineStr">
        <is>
          <t>Product Name</t>
        </is>
      </c>
      <c r="C1" s="5" t="inlineStr">
        <is>
          <t>Colour</t>
        </is>
      </c>
      <c r="D1" s="5" t="inlineStr">
        <is>
          <t>Quantity</t>
        </is>
      </c>
      <c r="E1" s="5" t="inlineStr">
        <is>
          <t>MRP</t>
        </is>
      </c>
      <c r="F1" s="5" t="inlineStr">
        <is>
          <t>Barcode</t>
        </is>
      </c>
      <c r="G1" s="5" t="inlineStr">
        <is>
          <t>Box No.</t>
        </is>
      </c>
      <c r="H1" s="5" t="inlineStr">
        <is>
          <t>Upload</t>
        </is>
      </c>
      <c r="I1" s="5" t="inlineStr">
        <is>
          <t>Image</t>
        </is>
      </c>
      <c r="J1" s="5" t="inlineStr">
        <is>
          <t>Notes</t>
        </is>
      </c>
    </row>
    <row r="2">
      <c r="A2" s="6" t="inlineStr">
        <is>
          <t>TZ9201-ARIES</t>
        </is>
      </c>
      <c r="B2" s="6" t="inlineStr">
        <is>
          <t>Aries Zodiac Pendant</t>
        </is>
      </c>
      <c r="C2" s="6" t="inlineStr">
        <is>
          <t>SILVER</t>
        </is>
      </c>
      <c r="D2" s="6" t="n">
        <v>76</v>
      </c>
      <c r="E2" s="6" t="n">
        <v>699</v>
      </c>
      <c r="F2" s="6" t="inlineStr">
        <is>
          <t>8903827098901</t>
        </is>
      </c>
      <c r="G2" s="6" t="n">
        <v>2</v>
      </c>
      <c r="H2" s="6" t="inlineStr"/>
      <c r="I2" s="6" t="inlineStr"/>
      <c r="J2" s="6" t="inlineStr"/>
    </row>
    <row r="3">
      <c r="A3" s="6" t="inlineStr">
        <is>
          <t>TZ9202-TAURUS</t>
        </is>
      </c>
      <c r="B3" s="6" t="inlineStr">
        <is>
          <t>Taurus Zodiac Pendant</t>
        </is>
      </c>
      <c r="C3" s="6" t="inlineStr">
        <is>
          <t>GOLD</t>
        </is>
      </c>
      <c r="D3" s="6" t="n">
        <v>68</v>
      </c>
      <c r="E3" s="6" t="n">
        <v>699</v>
      </c>
      <c r="F3" s="6" t="inlineStr">
        <is>
          <t>8903827098902</t>
        </is>
      </c>
      <c r="G3" s="6" t="n">
        <v>2</v>
      </c>
      <c r="H3" s="6" t="inlineStr"/>
      <c r="I3" s="6" t="inlineStr"/>
      <c r="J3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2026-06-12T09:16:58Z</dcterms:created>
  <dcterms:modified xsi:type="dcterms:W3CDTF">2026-06-12T09:23:28Z</dcterms:modified>
</cp:coreProperties>
</file>