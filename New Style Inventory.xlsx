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Earrings" sheetId="2" state="visible" r:id="rId2"/>
    <sheet name="Necklaces" sheetId="3" state="visible" r:id="rId3"/>
    <sheet name="Bangles" sheetId="4" state="visible" r:id="rId4"/>
    <sheet name="Maang Tikka" sheetId="5" state="visible" r:id="rId5"/>
    <sheet name="Rings" sheetId="6" state="visible" r:id="rId6"/>
    <sheet name="Zodia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0101"/>
        <bgColor rgb="00120101"/>
      </patternFill>
    </fill>
    <fill>
      <patternFill patternType="solid">
        <fgColor rgb="00F2157B"/>
        <bgColor rgb="00F2157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TRIBAL ZONE PRODUCT MASTER</t>
        </is>
      </c>
    </row>
    <row r="3">
      <c r="A3" s="2" t="inlineStr">
        <is>
          <t>Category</t>
        </is>
      </c>
      <c r="B3" s="2" t="inlineStr">
        <is>
          <t>Total SKUs</t>
        </is>
      </c>
      <c r="C3" s="2" t="inlineStr">
        <is>
          <t>Total Qty</t>
        </is>
      </c>
      <c r="D3" s="2" t="inlineStr">
        <is>
          <t>Total Value</t>
        </is>
      </c>
      <c r="E3" s="2" t="inlineStr">
        <is>
          <t>Avg Price</t>
        </is>
      </c>
    </row>
    <row r="4">
      <c r="A4" s="3" t="inlineStr">
        <is>
          <t>Earrings</t>
        </is>
      </c>
      <c r="B4" s="3">
        <f>COUNTA(Earrings!A2:A100)</f>
        <v/>
      </c>
      <c r="C4" s="4">
        <f>SUM(Earrings!D2:D100)</f>
        <v/>
      </c>
      <c r="D4" s="4">
        <f>SUMPRODUCT(Earrings!D2:D100,Earrings!E2:E100)</f>
        <v/>
      </c>
      <c r="E4" s="4">
        <f>AVERAGE(Earrings!E2:E100)</f>
        <v/>
      </c>
    </row>
    <row r="5">
      <c r="A5" s="3" t="inlineStr">
        <is>
          <t>Necklaces</t>
        </is>
      </c>
      <c r="B5" s="3">
        <f>COUNTA(Necklaces!A2:A100)</f>
        <v/>
      </c>
      <c r="C5" s="4">
        <f>SUM(Necklaces!D2:D100)</f>
        <v/>
      </c>
      <c r="D5" s="4">
        <f>SUMPRODUCT(Necklaces!D2:D100,Necklaces!E2:E100)</f>
        <v/>
      </c>
      <c r="E5" s="4">
        <f>AVERAGE(Necklaces!E2:E100)</f>
        <v/>
      </c>
    </row>
    <row r="6">
      <c r="A6" s="3" t="inlineStr">
        <is>
          <t>Bangles</t>
        </is>
      </c>
      <c r="B6" s="3">
        <f>COUNTA(Bangles!A2:A100)</f>
        <v/>
      </c>
      <c r="C6" s="4">
        <f>SUM(Bangles!D2:D100)</f>
        <v/>
      </c>
      <c r="D6" s="4">
        <f>SUMPRODUCT(Bangles!D2:D100,Bangles!E2:E100)</f>
        <v/>
      </c>
      <c r="E6" s="4">
        <f>AVERAGE(Bangles!E2:E100)</f>
        <v/>
      </c>
    </row>
    <row r="7">
      <c r="A7" s="3" t="inlineStr">
        <is>
          <t>Maang Tikka</t>
        </is>
      </c>
      <c r="B7" s="3">
        <f>COUNTA(Maang Tikka!A2:A100)</f>
        <v/>
      </c>
      <c r="C7" s="4">
        <f>SUM(Maang Tikka!D2:D100)</f>
        <v/>
      </c>
      <c r="D7" s="4">
        <f>SUMPRODUCT(Maang Tikka!D2:D100,Maang Tikka!E2:E100)</f>
        <v/>
      </c>
      <c r="E7" s="4">
        <f>AVERAGE(Maang Tikka!E2:E100)</f>
        <v/>
      </c>
    </row>
    <row r="8">
      <c r="A8" s="3" t="inlineStr">
        <is>
          <t>Rings</t>
        </is>
      </c>
      <c r="B8" s="3">
        <f>COUNTA(Rings!A2:A100)</f>
        <v/>
      </c>
      <c r="C8" s="4">
        <f>SUM(Rings!D2:D100)</f>
        <v/>
      </c>
      <c r="D8" s="4">
        <f>SUMPRODUCT(Rings!D2:D100,Rings!E2:E100)</f>
        <v/>
      </c>
      <c r="E8" s="4">
        <f>AVERAGE(Rings!E2:E100)</f>
        <v/>
      </c>
    </row>
    <row r="9">
      <c r="A9" s="3" t="inlineStr">
        <is>
          <t>Zodiac</t>
        </is>
      </c>
      <c r="B9" s="3">
        <f>COUNTA(Zodiac!A2:A100)</f>
        <v/>
      </c>
      <c r="C9" s="4">
        <f>SUM(Zodiac!D2:D100)</f>
        <v/>
      </c>
      <c r="D9" s="4">
        <f>SUMPRODUCT(Zodiac!D2:D100,Zodiac!E2:E100)</f>
        <v/>
      </c>
      <c r="E9" s="4">
        <f>AVERAGE(Zodiac!E2:E100)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TZ4361-008</t>
        </is>
      </c>
      <c r="B2" s="6" t="inlineStr">
        <is>
          <t>Gold Kundan Cluster Studs</t>
        </is>
      </c>
      <c r="C2" s="6" t="inlineStr">
        <is>
          <t>GOLD</t>
        </is>
      </c>
      <c r="D2" s="6" t="n">
        <v>126</v>
      </c>
      <c r="E2" s="6" t="n">
        <v>399</v>
      </c>
      <c r="F2" s="6" t="inlineStr">
        <is>
          <t>8903827098644</t>
        </is>
      </c>
      <c r="G2" s="6" t="n">
        <v>1</v>
      </c>
      <c r="H2" s="6" t="inlineStr"/>
      <c r="I2" s="6" t="inlineStr"/>
      <c r="J2" s="6" t="inlineStr"/>
    </row>
    <row r="3">
      <c r="A3" s="6" t="inlineStr">
        <is>
          <t>TZ4357-12</t>
        </is>
      </c>
      <c r="B3" s="6" t="inlineStr">
        <is>
          <t>Crystal Drop Earrings</t>
        </is>
      </c>
      <c r="C3" s="6" t="inlineStr">
        <is>
          <t>GOLD</t>
        </is>
      </c>
      <c r="D3" s="6" t="n">
        <v>120</v>
      </c>
      <c r="E3" s="6" t="n">
        <v>599</v>
      </c>
      <c r="F3" s="6" t="inlineStr">
        <is>
          <t>8903827098323</t>
        </is>
      </c>
      <c r="G3" s="6" t="n">
        <v>1</v>
      </c>
      <c r="H3" s="6" t="inlineStr"/>
      <c r="I3" s="6" t="inlineStr"/>
      <c r="J3" s="6" t="inlineStr"/>
    </row>
    <row r="4">
      <c r="A4" s="6" t="inlineStr">
        <is>
          <t>TZ4357-19</t>
        </is>
      </c>
      <c r="B4" s="6" t="inlineStr">
        <is>
          <t>White Pearl Studs</t>
        </is>
      </c>
      <c r="C4" s="6" t="inlineStr">
        <is>
          <t>WHITE</t>
        </is>
      </c>
      <c r="D4" s="6" t="n">
        <v>120</v>
      </c>
      <c r="E4" s="6" t="n">
        <v>599</v>
      </c>
      <c r="F4" s="6" t="inlineStr">
        <is>
          <t>8903827098392</t>
        </is>
      </c>
      <c r="G4" s="6" t="n">
        <v>1</v>
      </c>
      <c r="H4" s="6" t="inlineStr"/>
      <c r="I4" s="6" t="inlineStr"/>
      <c r="J4" s="6" t="inlineStr"/>
    </row>
    <row r="5">
      <c r="A5" s="6" t="inlineStr">
        <is>
          <t>TZ4383-1</t>
        </is>
      </c>
      <c r="B5" s="6" t="inlineStr">
        <is>
          <t>Antique Gold Jhumka</t>
        </is>
      </c>
      <c r="C5" s="6" t="inlineStr">
        <is>
          <t>GOLD</t>
        </is>
      </c>
      <c r="D5" s="6" t="n">
        <v>123</v>
      </c>
      <c r="E5" s="6" t="n">
        <v>699</v>
      </c>
      <c r="F5" s="6" t="inlineStr">
        <is>
          <t>8903827097913</t>
        </is>
      </c>
      <c r="G5" s="6" t="n">
        <v>4</v>
      </c>
      <c r="H5" s="6" t="inlineStr"/>
      <c r="I5" s="6" t="inlineStr"/>
      <c r="J5" s="6" t="inlineStr"/>
    </row>
    <row r="6">
      <c r="A6" s="6" t="inlineStr">
        <is>
          <t>TZ4383-5</t>
        </is>
      </c>
      <c r="B6" s="6" t="inlineStr">
        <is>
          <t>Kundan Drop Earring</t>
        </is>
      </c>
      <c r="C6" s="6" t="inlineStr">
        <is>
          <t>GOLD</t>
        </is>
      </c>
      <c r="D6" s="6" t="n">
        <v>192</v>
      </c>
      <c r="E6" s="6" t="n">
        <v>699</v>
      </c>
      <c r="F6" s="6" t="inlineStr">
        <is>
          <t>8903827097951</t>
        </is>
      </c>
      <c r="G6" s="6" t="n">
        <v>4</v>
      </c>
      <c r="H6" s="6" t="inlineStr"/>
      <c r="I6" s="6" t="inlineStr"/>
      <c r="J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TZ5201-001</t>
        </is>
      </c>
      <c r="B2" s="6" t="inlineStr">
        <is>
          <t>Crystal Pendant Necklace</t>
        </is>
      </c>
      <c r="C2" s="6" t="inlineStr">
        <is>
          <t>SILVER</t>
        </is>
      </c>
      <c r="D2" s="6" t="n">
        <v>85</v>
      </c>
      <c r="E2" s="6" t="n">
        <v>899</v>
      </c>
      <c r="F2" s="6" t="inlineStr">
        <is>
          <t>8903827098501</t>
        </is>
      </c>
      <c r="G2" s="6" t="n">
        <v>2</v>
      </c>
      <c r="H2" s="6" t="inlineStr"/>
      <c r="I2" s="6" t="inlineStr"/>
      <c r="J2" s="6" t="inlineStr"/>
    </row>
    <row r="3">
      <c r="A3" s="6" t="inlineStr">
        <is>
          <t>TZ5202-001</t>
        </is>
      </c>
      <c r="B3" s="6" t="inlineStr">
        <is>
          <t>Layered Chain Necklace</t>
        </is>
      </c>
      <c r="C3" s="6" t="inlineStr">
        <is>
          <t>GOLD</t>
        </is>
      </c>
      <c r="D3" s="6" t="n">
        <v>72</v>
      </c>
      <c r="E3" s="6" t="n">
        <v>799</v>
      </c>
      <c r="F3" s="6" t="inlineStr">
        <is>
          <t>8903827098502</t>
        </is>
      </c>
      <c r="G3" s="6" t="n">
        <v>2</v>
      </c>
      <c r="H3" s="6" t="inlineStr"/>
      <c r="I3" s="6" t="inlineStr"/>
      <c r="J3" s="6" t="inlineStr"/>
    </row>
    <row r="4">
      <c r="A4" s="6" t="inlineStr">
        <is>
          <t>TZ5203-001</t>
        </is>
      </c>
      <c r="B4" s="6" t="inlineStr">
        <is>
          <t>Kundan Temple Necklace</t>
        </is>
      </c>
      <c r="C4" s="6" t="inlineStr">
        <is>
          <t>GOLD</t>
        </is>
      </c>
      <c r="D4" s="6" t="n">
        <v>45</v>
      </c>
      <c r="E4" s="6" t="n">
        <v>1299</v>
      </c>
      <c r="F4" s="6" t="inlineStr">
        <is>
          <t>8903827098503</t>
        </is>
      </c>
      <c r="G4" s="6" t="n">
        <v>5</v>
      </c>
      <c r="H4" s="6" t="inlineStr"/>
      <c r="I4" s="6" t="inlineStr"/>
      <c r="J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TZ6101-001</t>
        </is>
      </c>
      <c r="B2" s="6" t="inlineStr">
        <is>
          <t>Crystal Beaded Bracelet</t>
        </is>
      </c>
      <c r="C2" s="6" t="inlineStr">
        <is>
          <t>MULTI</t>
        </is>
      </c>
      <c r="D2" s="6" t="n">
        <v>156</v>
      </c>
      <c r="E2" s="6" t="n">
        <v>499</v>
      </c>
      <c r="F2" s="6" t="inlineStr">
        <is>
          <t>8903827098601</t>
        </is>
      </c>
      <c r="G2" s="6" t="n">
        <v>3</v>
      </c>
      <c r="H2" s="6" t="inlineStr"/>
      <c r="I2" s="6" t="inlineStr"/>
      <c r="J2" s="6" t="inlineStr"/>
    </row>
    <row r="3">
      <c r="A3" s="6" t="inlineStr">
        <is>
          <t>TZ6102-001</t>
        </is>
      </c>
      <c r="B3" s="6" t="inlineStr">
        <is>
          <t>Gold Bangle Set</t>
        </is>
      </c>
      <c r="C3" s="6" t="inlineStr">
        <is>
          <t>GOLD</t>
        </is>
      </c>
      <c r="D3" s="6" t="n">
        <v>98</v>
      </c>
      <c r="E3" s="6" t="n">
        <v>799</v>
      </c>
      <c r="F3" s="6" t="inlineStr">
        <is>
          <t>8903827098602</t>
        </is>
      </c>
      <c r="G3" s="6" t="n">
        <v>3</v>
      </c>
      <c r="H3" s="6" t="inlineStr"/>
      <c r="I3" s="6" t="inlineStr"/>
      <c r="J3" s="6" t="inlineStr"/>
    </row>
    <row r="4">
      <c r="A4" s="6" t="inlineStr">
        <is>
          <t>TZ6103-001</t>
        </is>
      </c>
      <c r="B4" s="6" t="inlineStr">
        <is>
          <t>Antique Silver Bangle</t>
        </is>
      </c>
      <c r="C4" s="6" t="inlineStr">
        <is>
          <t>SILVER</t>
        </is>
      </c>
      <c r="D4" s="6" t="n">
        <v>67</v>
      </c>
      <c r="E4" s="6" t="n">
        <v>599</v>
      </c>
      <c r="F4" s="6" t="inlineStr">
        <is>
          <t>8903827098603</t>
        </is>
      </c>
      <c r="G4" s="6" t="n">
        <v>2</v>
      </c>
      <c r="H4" s="6" t="inlineStr"/>
      <c r="I4" s="6" t="inlineStr"/>
      <c r="J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TZ7101-001</t>
        </is>
      </c>
      <c r="B2" s="6" t="inlineStr">
        <is>
          <t>Pearl Maang Tikka</t>
        </is>
      </c>
      <c r="C2" s="6" t="inlineStr">
        <is>
          <t>GOLD</t>
        </is>
      </c>
      <c r="D2" s="6" t="n">
        <v>54</v>
      </c>
      <c r="E2" s="6" t="n">
        <v>799</v>
      </c>
      <c r="F2" s="6" t="inlineStr">
        <is>
          <t>8903827098701</t>
        </is>
      </c>
      <c r="G2" s="6" t="n">
        <v>4</v>
      </c>
      <c r="H2" s="6" t="inlineStr"/>
      <c r="I2" s="6" t="inlineStr"/>
      <c r="J2" s="6" t="inlineStr"/>
    </row>
    <row r="3">
      <c r="A3" s="6" t="inlineStr">
        <is>
          <t>TZ7102-001</t>
        </is>
      </c>
      <c r="B3" s="6" t="inlineStr">
        <is>
          <t>Kundan Maang Tikka</t>
        </is>
      </c>
      <c r="C3" s="6" t="inlineStr">
        <is>
          <t>GOLD</t>
        </is>
      </c>
      <c r="D3" s="6" t="n">
        <v>38</v>
      </c>
      <c r="E3" s="6" t="n">
        <v>999</v>
      </c>
      <c r="F3" s="6" t="inlineStr">
        <is>
          <t>8903827098702</t>
        </is>
      </c>
      <c r="G3" s="6" t="n">
        <v>4</v>
      </c>
      <c r="H3" s="6" t="inlineStr"/>
      <c r="I3" s="6" t="inlineStr"/>
      <c r="J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TZ8101-001</t>
        </is>
      </c>
      <c r="B2" s="6" t="inlineStr">
        <is>
          <t>Gold Statement Ring</t>
        </is>
      </c>
      <c r="C2" s="6" t="inlineStr">
        <is>
          <t>GOLD</t>
        </is>
      </c>
      <c r="D2" s="6" t="n">
        <v>124</v>
      </c>
      <c r="E2" s="6" t="n">
        <v>599</v>
      </c>
      <c r="F2" s="6" t="inlineStr">
        <is>
          <t>8903827098801</t>
        </is>
      </c>
      <c r="G2" s="6" t="n">
        <v>1</v>
      </c>
      <c r="H2" s="6" t="inlineStr"/>
      <c r="I2" s="6" t="inlineStr"/>
      <c r="J2" s="6" t="inlineStr"/>
    </row>
    <row r="3">
      <c r="A3" s="6" t="inlineStr">
        <is>
          <t>TZ8102-001</t>
        </is>
      </c>
      <c r="B3" s="6" t="inlineStr">
        <is>
          <t>Aries Zodiac Ring</t>
        </is>
      </c>
      <c r="C3" s="6" t="inlineStr">
        <is>
          <t>SILVER</t>
        </is>
      </c>
      <c r="D3" s="6" t="n">
        <v>89</v>
      </c>
      <c r="E3" s="6" t="n">
        <v>699</v>
      </c>
      <c r="F3" s="6" t="inlineStr">
        <is>
          <t>8903827098802</t>
        </is>
      </c>
      <c r="G3" s="6" t="n">
        <v>1</v>
      </c>
      <c r="H3" s="6" t="inlineStr"/>
      <c r="I3" s="6" t="inlineStr"/>
      <c r="J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  <col width="10" customWidth="1" min="5" max="5"/>
    <col width="18" customWidth="1" min="6" max="6"/>
    <col width="10" customWidth="1" min="7" max="7"/>
    <col width="12" customWidth="1" min="8" max="8"/>
    <col width="20" customWidth="1" min="9" max="9"/>
    <col width="25" customWidth="1" min="10" max="10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Colour</t>
        </is>
      </c>
      <c r="D1" s="5" t="inlineStr">
        <is>
          <t>Quantity</t>
        </is>
      </c>
      <c r="E1" s="5" t="inlineStr">
        <is>
          <t>MRP</t>
        </is>
      </c>
      <c r="F1" s="5" t="inlineStr">
        <is>
          <t>Barcode</t>
        </is>
      </c>
      <c r="G1" s="5" t="inlineStr">
        <is>
          <t>Box No.</t>
        </is>
      </c>
      <c r="H1" s="5" t="inlineStr">
        <is>
          <t>Upload</t>
        </is>
      </c>
      <c r="I1" s="5" t="inlineStr">
        <is>
          <t>Image</t>
        </is>
      </c>
      <c r="J1" s="5" t="inlineStr">
        <is>
          <t>Notes</t>
        </is>
      </c>
    </row>
    <row r="2">
      <c r="A2" s="6" t="inlineStr">
        <is>
          <t>TZ9201-ARIES</t>
        </is>
      </c>
      <c r="B2" s="6" t="inlineStr">
        <is>
          <t>Aries Zodiac Pendant</t>
        </is>
      </c>
      <c r="C2" s="6" t="inlineStr">
        <is>
          <t>SILVER</t>
        </is>
      </c>
      <c r="D2" s="6" t="n">
        <v>76</v>
      </c>
      <c r="E2" s="6" t="n">
        <v>699</v>
      </c>
      <c r="F2" s="6" t="inlineStr">
        <is>
          <t>8903827098901</t>
        </is>
      </c>
      <c r="G2" s="6" t="n">
        <v>2</v>
      </c>
      <c r="H2" s="6" t="inlineStr"/>
      <c r="I2" s="6" t="inlineStr"/>
      <c r="J2" s="6" t="inlineStr"/>
    </row>
    <row r="3">
      <c r="A3" s="6" t="inlineStr">
        <is>
          <t>TZ9202-TAURUS</t>
        </is>
      </c>
      <c r="B3" s="6" t="inlineStr">
        <is>
          <t>Taurus Zodiac Pendant</t>
        </is>
      </c>
      <c r="C3" s="6" t="inlineStr">
        <is>
          <t>GOLD</t>
        </is>
      </c>
      <c r="D3" s="6" t="n">
        <v>68</v>
      </c>
      <c r="E3" s="6" t="n">
        <v>699</v>
      </c>
      <c r="F3" s="6" t="inlineStr">
        <is>
          <t>8903827098902</t>
        </is>
      </c>
      <c r="G3" s="6" t="n">
        <v>2</v>
      </c>
      <c r="H3" s="6" t="inlineStr"/>
      <c r="I3" s="6" t="inlineStr"/>
      <c r="J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2026-06-12T09:16:58Z</dcterms:created>
  <dcterms:modified xsi:type="dcterms:W3CDTF">2026-06-12T09:16:58Z</dcterms:modified>
</cp:coreProperties>
</file>